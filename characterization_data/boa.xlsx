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b1.6.NTTR-JB7LY33\Desktop\2026 - 01 - 16 - Code for TWM Tester\characterization_data\"/>
    </mc:Choice>
  </mc:AlternateContent>
  <xr:revisionPtr revIDLastSave="0" documentId="13_ncr:1_{D03EACF2-27CA-4628-AAE3-546A5B037B0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<sst xmlns="http://schemas.openxmlformats.org/spreadsheetml/2006/main" count="10" uniqueCount="8">
  <si>
    <t>Wavelength (nm)</t>
  </si>
  <si>
    <t>Output power (mW)</t>
  </si>
  <si>
    <t>Gain (dB)</t>
  </si>
  <si>
    <t>1560 nm</t>
  </si>
  <si>
    <t>Current (mA)</t>
  </si>
  <si>
    <t>40 mW @ 347 mA, 30 mW at 278.7 mA, 20 mW at 213.2 mA</t>
  </si>
  <si>
    <t>NOTE: Input power is 0 dBm, 278.8 mA</t>
  </si>
  <si>
    <t>output power after lensed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</si>
</sst>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D7" sqref="D7"/>
    </sheetView>
  </sheetViews>
  <sheetFormatPr defaultRowHeight="14.4" x14ac:dyDescent="0.3"/>
  <cols>
    <col min="1" max="1" width="15.109375" customWidth="1"/>
    <col min="2" max="2" width="18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1480</v>
      </c>
      <c r="B2">
        <v>2.35</v>
      </c>
      <c r="C2">
        <f xml:space="preserve"> 10*LOG10(B2)</f>
        <v>3.7106786227173627</v>
      </c>
    </row>
    <row r="3" spans="1:4" x14ac:dyDescent="0.3">
      <c r="A3">
        <v>1490</v>
      </c>
      <c r="B3">
        <v>4.38</v>
      </c>
      <c r="C3">
        <f t="shared" ref="C3:C17" si="0" xml:space="preserve"> 10*LOG10(B3)</f>
        <v>6.4147411050409957</v>
      </c>
    </row>
    <row r="4" spans="1:4" x14ac:dyDescent="0.3">
      <c r="A4">
        <v>1500</v>
      </c>
      <c r="B4">
        <v>7.26</v>
      </c>
      <c r="C4">
        <f t="shared" si="0"/>
        <v>8.6093662070009369</v>
      </c>
    </row>
    <row r="5" spans="1:4" x14ac:dyDescent="0.3">
      <c r="A5">
        <v>1510</v>
      </c>
      <c r="B5">
        <v>10.7</v>
      </c>
      <c r="C5">
        <f t="shared" si="0"/>
        <v>10.293837776852097</v>
      </c>
    </row>
    <row r="6" spans="1:4" x14ac:dyDescent="0.3">
      <c r="A6">
        <v>1520</v>
      </c>
      <c r="B6">
        <v>14.46</v>
      </c>
      <c r="C6">
        <f t="shared" si="0"/>
        <v>11.60168292958512</v>
      </c>
    </row>
    <row r="7" spans="1:4" x14ac:dyDescent="0.3">
      <c r="A7">
        <v>1530</v>
      </c>
      <c r="B7">
        <v>18.36</v>
      </c>
      <c r="C7">
        <f t="shared" si="0"/>
        <v>12.638726768652235</v>
      </c>
    </row>
    <row r="8" spans="1:4" x14ac:dyDescent="0.3">
      <c r="A8">
        <v>1540</v>
      </c>
      <c r="B8">
        <v>22.5</v>
      </c>
      <c r="C8">
        <f t="shared" si="0"/>
        <v>13.521825181113625</v>
      </c>
    </row>
    <row r="9" spans="1:4" x14ac:dyDescent="0.3">
      <c r="A9">
        <v>1550</v>
      </c>
      <c r="B9">
        <v>26.5</v>
      </c>
      <c r="C9">
        <f t="shared" si="0"/>
        <v>14.232458739368079</v>
      </c>
    </row>
    <row r="10" spans="1:4" x14ac:dyDescent="0.3">
      <c r="A10">
        <v>1560</v>
      </c>
      <c r="B10">
        <v>30</v>
      </c>
      <c r="C10">
        <f t="shared" si="0"/>
        <v>14.771212547196624</v>
      </c>
    </row>
    <row r="11" spans="1:4" x14ac:dyDescent="0.3">
      <c r="A11">
        <v>1570</v>
      </c>
      <c r="B11">
        <v>32.18</v>
      </c>
      <c r="C11">
        <f t="shared" si="0"/>
        <v>15.075860397630107</v>
      </c>
    </row>
    <row r="12" spans="1:4" x14ac:dyDescent="0.3">
      <c r="A12">
        <v>1580</v>
      </c>
      <c r="B12">
        <v>32.74</v>
      </c>
      <c r="C12">
        <f t="shared" si="0"/>
        <v>15.150786750759227</v>
      </c>
    </row>
    <row r="13" spans="1:4" x14ac:dyDescent="0.3">
      <c r="A13">
        <v>1590</v>
      </c>
      <c r="B13">
        <v>31.34</v>
      </c>
      <c r="C13">
        <f t="shared" si="0"/>
        <v>14.960989921325714</v>
      </c>
    </row>
    <row r="14" spans="1:4" x14ac:dyDescent="0.3">
      <c r="A14">
        <v>1600</v>
      </c>
      <c r="B14">
        <v>28.3</v>
      </c>
      <c r="C14">
        <f t="shared" si="0"/>
        <v>14.517864355242903</v>
      </c>
    </row>
    <row r="15" spans="1:4" x14ac:dyDescent="0.3">
      <c r="A15">
        <v>1610</v>
      </c>
      <c r="B15">
        <v>23.55</v>
      </c>
      <c r="C15">
        <f t="shared" si="0"/>
        <v>13.719909114649148</v>
      </c>
    </row>
    <row r="16" spans="1:4" x14ac:dyDescent="0.3">
      <c r="A16">
        <v>1620</v>
      </c>
      <c r="B16">
        <v>16.46</v>
      </c>
      <c r="C16">
        <f t="shared" si="0"/>
        <v>12.164298308762511</v>
      </c>
    </row>
    <row r="17" spans="1:3" x14ac:dyDescent="0.3">
      <c r="A17">
        <v>1630</v>
      </c>
      <c r="B17">
        <v>8.6999999999999993</v>
      </c>
      <c r="C17">
        <f t="shared" si="0"/>
        <v>9.3951925261861842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5CB3-6E90-4E60-B95D-9E7C8D1A7A3B}">
  <dimension ref="A1:D14"/>
  <sheetViews>
    <sheetView tabSelected="1" workbookViewId="0">
      <selection activeCell="D6" sqref="D6"/>
    </sheetView>
  </sheetViews>
  <sheetFormatPr defaultRowHeight="14.4" x14ac:dyDescent="0.3"/>
  <cols>
    <col min="1" max="1" width="11.88671875" customWidth="1"/>
    <col min="2" max="2" width="18.109375" customWidth="1"/>
  </cols>
  <sheetData>
    <row r="1" spans="1:4" x14ac:dyDescent="0.3">
      <c r="A1" t="s">
        <v>3</v>
      </c>
      <c r="B1" t="s">
        <v>5</v>
      </c>
    </row>
    <row r="2" spans="1:4" x14ac:dyDescent="0.3">
      <c r="A2" t="s">
        <v>4</v>
      </c>
      <c r="B2" t="s">
        <v>1</v>
      </c>
      <c r="C2" t="s">
        <v>2</v>
      </c>
      <c r="D2" t="s">
        <v>7</v>
      </c>
    </row>
    <row r="3" spans="1:4" x14ac:dyDescent="0.3">
      <c r="A3">
        <v>78</v>
      </c>
      <c r="B3">
        <v>1</v>
      </c>
      <c r="C3">
        <f>10*LOG10(B3)</f>
        <v>0</v>
      </c>
      <c r="D3">
        <v>1.37</v>
      </c>
    </row>
    <row r="4" spans="1:4" x14ac:dyDescent="0.3">
      <c r="A4">
        <v>100</v>
      </c>
      <c r="B4">
        <v>3.17</v>
      </c>
      <c r="C4">
        <f t="shared" ref="C4:C14" si="0">10*LOG10(B4)</f>
        <v>5.0105926221775139</v>
      </c>
      <c r="D4">
        <v>2.42</v>
      </c>
    </row>
    <row r="5" spans="1:4" x14ac:dyDescent="0.3">
      <c r="A5">
        <v>150</v>
      </c>
      <c r="B5">
        <v>10.4</v>
      </c>
      <c r="C5">
        <f t="shared" si="0"/>
        <v>10.170333392987803</v>
      </c>
      <c r="D5">
        <v>5.39</v>
      </c>
    </row>
    <row r="6" spans="1:4" x14ac:dyDescent="0.3">
      <c r="A6">
        <v>200</v>
      </c>
      <c r="B6">
        <v>18</v>
      </c>
      <c r="C6">
        <f t="shared" si="0"/>
        <v>12.552725051033061</v>
      </c>
    </row>
    <row r="7" spans="1:4" x14ac:dyDescent="0.3">
      <c r="A7">
        <v>250</v>
      </c>
      <c r="B7">
        <v>25.75</v>
      </c>
      <c r="C7">
        <f t="shared" si="0"/>
        <v>14.107772333772097</v>
      </c>
    </row>
    <row r="8" spans="1:4" x14ac:dyDescent="0.3">
      <c r="A8">
        <v>300</v>
      </c>
      <c r="B8">
        <v>33.4</v>
      </c>
      <c r="C8">
        <f t="shared" si="0"/>
        <v>15.237464668115646</v>
      </c>
    </row>
    <row r="9" spans="1:4" x14ac:dyDescent="0.3">
      <c r="A9">
        <v>350</v>
      </c>
      <c r="B9">
        <v>40.5</v>
      </c>
      <c r="C9">
        <f t="shared" si="0"/>
        <v>16.074550232146684</v>
      </c>
    </row>
    <row r="10" spans="1:4" x14ac:dyDescent="0.3">
      <c r="A10">
        <v>400</v>
      </c>
      <c r="B10">
        <v>47.5</v>
      </c>
      <c r="C10">
        <f t="shared" si="0"/>
        <v>16.766936096248667</v>
      </c>
    </row>
    <row r="11" spans="1:4" x14ac:dyDescent="0.3">
      <c r="A11">
        <v>450</v>
      </c>
      <c r="B11">
        <v>54.1</v>
      </c>
      <c r="C11">
        <f t="shared" si="0"/>
        <v>17.331972651065694</v>
      </c>
    </row>
    <row r="12" spans="1:4" x14ac:dyDescent="0.3">
      <c r="A12">
        <v>500</v>
      </c>
      <c r="B12">
        <v>60</v>
      </c>
      <c r="C12">
        <f t="shared" si="0"/>
        <v>17.781512503836435</v>
      </c>
    </row>
    <row r="13" spans="1:4" x14ac:dyDescent="0.3">
      <c r="A13">
        <v>550</v>
      </c>
      <c r="B13">
        <v>66</v>
      </c>
      <c r="C13">
        <f t="shared" si="0"/>
        <v>18.195439355418689</v>
      </c>
    </row>
    <row r="14" spans="1:4" x14ac:dyDescent="0.3">
      <c r="A14">
        <v>600</v>
      </c>
      <c r="B14">
        <v>71.7</v>
      </c>
      <c r="C14">
        <f t="shared" si="0"/>
        <v>18.555191556678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Lab1.6</dc:creator>
  <cp:lastModifiedBy>Lab1.6</cp:lastModifiedBy>
  <dcterms:created xsi:type="dcterms:W3CDTF">2015-06-05T18:17:20Z</dcterms:created>
  <dcterms:modified xsi:type="dcterms:W3CDTF">2026-03-27T21:35:02Z</dcterms:modified>
</cp:coreProperties>
</file>